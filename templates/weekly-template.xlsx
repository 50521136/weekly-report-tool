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405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<sst xmlns="http://schemas.openxmlformats.org/spreadsheetml/2006/main" count="68" uniqueCount="52">
  <si>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>产业数字化板块工作周报统计表
（2025年1月第4周)</t>
  </si>
  <si>
    <t>部门（单位）</t>
  </si>
  <si>
    <t>重点工作</t>
  </si>
  <si>
    <t>本周内容</t>
  </si>
  <si>
    <t>下周计划</t>
  </si>
  <si>
    <t>倬慧科技</t>
  </si>
  <si>
    <t>1.业绩工作</t>
  </si>
  <si>
    <t>2.重点项目跟进工作</t>
  </si>
  <si>
    <t>1.管网西气东输宜春站1-7#阀室项目：项目进场作业、程序调试
2.永兴新能源DCS改造项目：项目搬迁后维护、新画面添加
3.高安市天然气有限公司智慧场站项目调研
4.场站智能分输试点改造项目：标书编写、技术文件编写
5.上饶水厂现场勘测
6.景德镇改造投标文件编写
7.乐平BB通讯程序编写
8.余干调控中心现场调试
9.宜春阀室作业开票
10.都昌对接监理和住建局
11.贵溪天然气柏里故障处理
12.德兴天然气智慧场站建设调研
13.管道分公司区域调控中心SCADA系统项目：三个区域问题整改验收
14.南昌输气分公司樟湘联络线1#-7#阀室爆管功能改造项目
15.鄱阳天然气公司智慧场站改造项目：业主更换加臭机控制器，将加臭机数据参数采集至上位机
16.爆管检测项目7#阀室，6#阀室，5#阀室调试，
17.彬江站加热器项目机柜FAT测试</t>
  </si>
  <si>
    <t>1.永兴新能源DCS改造项目：画面测试
2.管道IP管控现场勘测
3.BB通讯程序收尾
4.都昌现场开工
5.德兴天然气智慧场站建设方案编制
6.彬江分输站加热器现场调试
7.光通信网络改造项目：现场勘察网络走向</t>
  </si>
  <si>
    <t>3.其它工作</t>
  </si>
  <si>
    <t>部门</t>
  </si>
  <si>
    <t>项目名称</t>
  </si>
  <si>
    <t>本周工作进展</t>
  </si>
  <si>
    <t>本周遇到的问题</t>
  </si>
  <si>
    <t>下周工作计划</t>
  </si>
  <si>
    <t>需要协调的资源</t>
  </si>
  <si>
    <t>1、</t>
  </si>
  <si>
    <t>九江自控系统改造项目</t>
  </si>
  <si>
    <t>：</t>
  </si>
  <si>
    <t>与相关部门沟通获取 IP 地址修改方案并完成修改，全面测试系统确保数据传输稳定准确，推进项目</t>
  </si>
  <si>
    <t>等待 IP 地址修改，影响后续工作按时开展</t>
  </si>
  <si>
    <t>协调获取 IP 地址修改信息</t>
  </si>
  <si>
    <t>2、</t>
  </si>
  <si>
    <t>宜丰站自动分输画面修改项目</t>
  </si>
  <si>
    <t>完成用户自动分输画面修改工作，测试优化画面，争取项目进度达到 80%</t>
  </si>
  <si>
    <t>未完成全部画面修改工作</t>
  </si>
  <si>
    <t>无</t>
  </si>
  <si>
    <t>3、</t>
  </si>
  <si>
    <t>宜春瑞思博数采项目</t>
  </si>
  <si>
    <t>重新评估资源分配，总结项目取消经验教训</t>
  </si>
  <si>
    <t>项目取消，需重新评估资源分配</t>
  </si>
  <si>
    <t>4、</t>
  </si>
  <si>
    <t>调控中心 SCADA 系统更新改造及三级等保建设项目</t>
  </si>
  <si>
    <t>推进电气柜调整与重新布线、内墙切割作业，关注施工进度，争取进度提升至 70%</t>
  </si>
  <si>
    <t>装修现场施工打孔等工作存在困难，整体进度 55%，施工任务艰巨需关注安全质量</t>
  </si>
  <si>
    <t>协调专业电气工程师提供技术支持</t>
  </si>
  <si>
    <t>5、</t>
  </si>
  <si>
    <t>余干冕山调压站二期设备改造项目</t>
  </si>
  <si>
    <t>与业主保持沟通，筹备年后动工资源，细化审核施工方案，确保年后顺利开工</t>
  </si>
  <si>
    <t>施工进度暂停，仅完成 10%，需年后动工</t>
  </si>
  <si>
    <t>6、</t>
  </si>
  <si>
    <t>赤湖村门站改造项目</t>
  </si>
  <si>
    <t>完成数据远传和新做画面到省公司调度工作，优化上位机画面，确保项目收尾</t>
  </si>
  <si>
    <t>影响站场与省公司信息交互，不利于无人值守目标实现</t>
  </si>
  <si>
    <t>7、</t>
  </si>
  <si>
    <t>城市燃气供气用户数据远传监控设备项目</t>
  </si>
  <si>
    <t>与业主沟通了解未跟进原因，推动项目重启，安装机柜、核对数据、开展大用户数据采集，争取完成项目剩余 40% 实现交付</t>
  </si>
  <si>
    <t>项目搁置，无法安装机柜、核对数据和增加大用户数据采集</t>
  </si>
  <si>
    <t>协助与业主高层沟通推动项目重启</t>
  </si>
  <si>
    <t>1、九江自控系统改造项目：在南昌调控中心添加九江站、湖口站、西海站画面并完成数据连点工作，项目完成进度 96%
2、宜丰站自动分输画面修改项目：创建 PV 调节阀面板模型，完成部分关键步骤，项目进度 10%
3、宜春瑞思博数采项目：项目取消，前期筹备与规划工作白费
4、调控中心 SCADA 系统更新改造及三级等保建设项目：装修进度 80%，电气柜需调整重新布线，内墙需切割处理，动火方案已提交
5、余干冕山调压站二期设备改造项目：控制操作箱成套中，业主要求年后动工
6、赤湖村门站改造项目：数据远传和新做画面到省公司调度未完成
7、城市燃气供气用户数据远传监控设备项目：机柜已成套，但业主未跟进</t>
  </si>
  <si>
    <t>1、九江自控系统改造项目：与相关部门沟通获取 IP 地址修改方案并完成修改，全面测试系统确保数据传输稳定准确，推进项目
2、宜丰站自动分输画面修改项目：完成用户自动分输画面修改工作，测试优化画面，争取项目进度达到 80%
3、宜春瑞思博数采项目：重新评估资源分配，总结项目取消经验教训
4、调控中心 SCADA 系统更新改造及三级等保建设项目：推进电气柜调整与重新布线、内墙切割作业，关注施工进度，争取进度提升至 70%
5、余干冕山调压站二期设备改造项目：与业主保持沟通，筹备年后动工资源，细化审核施工方案，确保年后顺利开工
6、赤湖村门站改造项目：完成数据远传和新做画面到省公司调度工作，优化上位机画面，确保项目收尾
7、城市燃气供气用户数据远传监控设备项目：与业主沟通了解未跟进原因，推动项目重启，安装机柜、核对数据、开展大用户数据采集，争取完成项目剩余 40% 实现交付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</si>
</sst>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var(--s-font-small-strong"/>
      <charset val="134"/>
    </font>
    <font>
      <sz val="11"/>
      <color theme="1"/>
      <name val="var(--s-font-small-strong)"/>
      <charset val="134"/>
    </font>
    <font>
      <sz val="11"/>
      <color theme="1"/>
      <name val="var(--s-font-small)"/>
      <charset val="134"/>
    </font>
    <font>
      <sz val="9.75"/>
      <color theme="1"/>
      <name val="宋体"/>
      <charset val="134"/>
      <scheme val="minor"/>
    </font>
    <font>
      <sz val="9"/>
      <color theme="1"/>
      <name val="Segoe UI"/>
      <charset val="134"/>
    </font>
    <font>
      <b/>
      <sz val="16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1</xdr:col>
          <xdr:colOff>0</xdr:colOff>
          <xdr:row>18</xdr:row>
          <xdr:rowOff>74295</xdr:rowOff>
        </xdr:to>
        <xdr:sp>
          <xdr:nvSpPr>
            <xdr:cNvPr id="1025" name="HTMLTextArea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12934950"/>
              <a:ext cx="1911985" cy="39814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34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3692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0</xdr:colOff>
      <xdr:row>36</xdr:row>
      <xdr:rowOff>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7982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1</xdr:col>
          <xdr:colOff>0</xdr:colOff>
          <xdr:row>18</xdr:row>
          <xdr:rowOff>74295</xdr:rowOff>
        </xdr:to>
        <xdr:sp>
          <xdr:nvSpPr>
            <xdr:cNvPr id="1026" name="HTMLTextArea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12934950"/>
              <a:ext cx="1911985" cy="39814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34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3692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0</xdr:colOff>
      <xdr:row>36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7982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37</xdr:row>
      <xdr:rowOff>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275"/>
          <a:ext cx="0" cy="171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"/>
  <sheetViews>
    <sheetView tabSelected="1" zoomScale="85" zoomScaleNormal="85" topLeftCell="A2" workbookViewId="0">
      <selection activeCell="F4" sqref="F4"/>
    </sheetView>
  </sheetViews>
  <sheetFormatPr defaultColWidth="9" defaultRowHeight="13.5" outlineLevelRow="4" outlineLevelCol="3"/>
  <cols>
    <col min="1" max="1" width="16.0083333333333" customWidth="1"/>
    <col min="2" max="2" width="21.675" customWidth="1"/>
    <col min="3" max="4" width="50.6333333333333" customWidth="1"/>
  </cols>
  <sheetData>
    <row r="1" ht="51" customHeight="1" spans="1:4">
      <c r="A1" s="8" t="s">
        <v>0</v>
      </c>
      <c r="B1" s="9"/>
      <c r="C1" s="9"/>
      <c r="D1" s="9"/>
    </row>
    <row r="2" ht="22.5" customHeight="1" spans="1:4">
      <c r="A2" s="10" t="s">
        <v>1</v>
      </c>
      <c r="B2" s="10" t="s">
        <v>2</v>
      </c>
      <c r="C2" s="10" t="s">
        <v>3</v>
      </c>
      <c r="D2" s="10" t="s">
        <v>4</v>
      </c>
    </row>
    <row r="3" ht="121.5" customHeight="1" spans="1:4">
      <c r="A3" s="11" t="s">
        <v>5</v>
      </c>
      <c r="B3" s="12" t="s">
        <v>6</v>
      </c>
      <c r="C3" s="13"/>
      <c r="D3" s="13"/>
    </row>
    <row r="4" ht="313.5" spans="1:4">
      <c r="A4" s="11"/>
      <c r="B4" s="12" t="s">
        <v>7</v>
      </c>
      <c r="C4" s="13" t="s">
        <v>8</v>
      </c>
      <c r="D4" s="13" t="s">
        <v>9</v>
      </c>
    </row>
    <row r="5" ht="22.5" customHeight="1" spans="1:4">
      <c r="A5" s="11"/>
      <c r="B5" s="12" t="s">
        <v>10</v>
      </c>
      <c r="C5" s="13"/>
      <c r="D5" s="13"/>
    </row>
  </sheetData>
  <mergeCells count="2">
    <mergeCell ref="A1:D1"/>
    <mergeCell ref="A3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5"/>
  <sheetViews>
    <sheetView topLeftCell="A8" workbookViewId="0">
      <selection activeCell="C14" sqref="C14"/>
    </sheetView>
  </sheetViews>
  <sheetFormatPr defaultColWidth="9" defaultRowHeight="13.5"/>
  <cols>
    <col min="1" max="1" width="25.0916666666667" customWidth="1"/>
    <col min="2" max="3" width="8.63333333333333" customWidth="1"/>
    <col min="4" max="5" width="30.725" customWidth="1"/>
  </cols>
  <sheetData>
    <row r="1" ht="27" spans="1:12">
      <c r="A1" s="1" t="s">
        <v>11</v>
      </c>
      <c r="B1" s="1" t="s">
        <v>12</v>
      </c>
      <c r="C1" s="1"/>
      <c r="D1" s="1" t="s">
        <v>13</v>
      </c>
      <c r="E1" s="1"/>
      <c r="F1" s="1" t="s">
        <v>14</v>
      </c>
      <c r="G1" s="1" t="s">
        <v>15</v>
      </c>
      <c r="H1" s="1" t="s">
        <v>16</v>
      </c>
    </row>
    <row r="2" ht="148.5" spans="1:12">
      <c r="A2" s="2" t="s">
        <v>17</v>
      </c>
      <c r="B2" s="2" t="s">
        <v>18</v>
      </c>
      <c r="C2" s="2" t="s">
        <v>19</v>
      </c>
      <c r="D2" s="2" t="s">
        <v>20</v>
      </c>
      <c r="E2" s="2" t="str">
        <f>A2&amp;B2&amp;C2&amp;D2</f>
        <v>1、九江自控系统改造项目：与相关部门沟通获取 IP 地址修改方案并完成修改，全面测试系统确保数据传输稳定准确，推进项目</v>
      </c>
      <c r="F2" s="2" t="s">
        <v>21</v>
      </c>
      <c r="G2" s="2" t="s">
        <v>20</v>
      </c>
      <c r="H2" s="2" t="s">
        <v>22</v>
      </c>
    </row>
    <row r="3" ht="108" spans="1:12">
      <c r="A3" s="2" t="s">
        <v>23</v>
      </c>
      <c r="B3" s="2" t="s">
        <v>24</v>
      </c>
      <c r="C3" s="2" t="s">
        <v>19</v>
      </c>
      <c r="D3" s="2" t="s">
        <v>25</v>
      </c>
      <c r="E3" s="2" t="str">
        <f t="shared" ref="E3:E8" si="0">A3&amp;B3&amp;C3&amp;D3</f>
        <v>2、宜丰站自动分输画面修改项目：完成用户自动分输画面修改工作，测试优化画面，争取项目进度达到 80%</v>
      </c>
      <c r="F3" s="2" t="s">
        <v>26</v>
      </c>
      <c r="G3" s="2" t="s">
        <v>25</v>
      </c>
      <c r="H3" s="2" t="s">
        <v>27</v>
      </c>
      <c r="L3" s="2"/>
    </row>
    <row r="4" ht="67.5" spans="1:12">
      <c r="A4" s="2" t="s">
        <v>28</v>
      </c>
      <c r="B4" s="2" t="s">
        <v>29</v>
      </c>
      <c r="C4" s="2" t="s">
        <v>19</v>
      </c>
      <c r="D4" s="2" t="s">
        <v>30</v>
      </c>
      <c r="E4" s="2" t="str">
        <f t="shared" si="0"/>
        <v>3、宜春瑞思博数采项目：重新评估资源分配，总结项目取消经验教训</v>
      </c>
      <c r="F4" s="2" t="s">
        <v>31</v>
      </c>
      <c r="G4" s="2" t="s">
        <v>30</v>
      </c>
      <c r="H4" s="2" t="s">
        <v>27</v>
      </c>
    </row>
    <row r="5" ht="121.5" spans="1:12">
      <c r="A5" s="2" t="s">
        <v>32</v>
      </c>
      <c r="B5" s="2" t="s">
        <v>33</v>
      </c>
      <c r="C5" s="2" t="s">
        <v>19</v>
      </c>
      <c r="D5" s="2" t="s">
        <v>34</v>
      </c>
      <c r="E5" s="2" t="str">
        <f t="shared" si="0"/>
        <v>4、调控中心 SCADA 系统更新改造及三级等保建设项目：推进电气柜调整与重新布线、内墙切割作业，关注施工进度，争取进度提升至 70%</v>
      </c>
      <c r="F5" s="2" t="s">
        <v>35</v>
      </c>
      <c r="G5" s="2" t="s">
        <v>34</v>
      </c>
      <c r="H5" s="2" t="s">
        <v>36</v>
      </c>
    </row>
    <row r="6" ht="121.5" spans="1:12">
      <c r="A6" s="2" t="s">
        <v>37</v>
      </c>
      <c r="B6" s="2" t="s">
        <v>38</v>
      </c>
      <c r="C6" s="2" t="s">
        <v>19</v>
      </c>
      <c r="D6" s="2" t="s">
        <v>39</v>
      </c>
      <c r="E6" s="2" t="str">
        <f t="shared" si="0"/>
        <v>5、余干冕山调压站二期设备改造项目：与业主保持沟通，筹备年后动工资源，细化审核施工方案，确保年后顺利开工</v>
      </c>
      <c r="F6" s="2" t="s">
        <v>40</v>
      </c>
      <c r="G6" s="2" t="s">
        <v>39</v>
      </c>
      <c r="H6" s="2" t="s">
        <v>27</v>
      </c>
    </row>
    <row r="7" ht="121.5" spans="1:12">
      <c r="A7" s="2" t="s">
        <v>41</v>
      </c>
      <c r="B7" s="2" t="s">
        <v>42</v>
      </c>
      <c r="C7" s="2" t="s">
        <v>19</v>
      </c>
      <c r="D7" s="2" t="s">
        <v>43</v>
      </c>
      <c r="E7" s="2" t="str">
        <f t="shared" si="0"/>
        <v>6、赤湖村门站改造项目：完成数据远传和新做画面到省公司调度工作，优化上位机画面，确保项目收尾</v>
      </c>
      <c r="F7" s="2" t="s">
        <v>44</v>
      </c>
      <c r="G7" s="2" t="s">
        <v>43</v>
      </c>
      <c r="H7" s="2" t="s">
        <v>27</v>
      </c>
    </row>
    <row r="8" ht="189" spans="1:12">
      <c r="A8" s="2" t="s">
        <v>45</v>
      </c>
      <c r="B8" s="2" t="s">
        <v>46</v>
      </c>
      <c r="C8" s="2" t="s">
        <v>19</v>
      </c>
      <c r="D8" s="2" t="s">
        <v>47</v>
      </c>
      <c r="E8" s="2" t="str">
        <f t="shared" si="0"/>
        <v>7、城市燃气供气用户数据远传监控设备项目：与业主沟通了解未跟进原因，推动项目重启，安装机柜、核对数据、开展大用户数据采集，争取完成项目剩余 40% 实现交付</v>
      </c>
      <c r="F8" s="2" t="s">
        <v>48</v>
      </c>
      <c r="G8" s="2" t="s">
        <v>47</v>
      </c>
      <c r="H8" s="2" t="s">
        <v>49</v>
      </c>
    </row>
    <row r="9" ht="14.25" spans="1:12">
      <c r="A9" s="3"/>
    </row>
    <row r="10" ht="14.25" spans="1:12">
      <c r="A10" s="3"/>
    </row>
    <row r="11" ht="14.25" spans="1:12">
      <c r="A11" s="3"/>
    </row>
    <row r="12" ht="14.25" spans="1:12">
      <c r="A12" s="3"/>
    </row>
    <row r="13" ht="14.25" spans="1:12">
      <c r="A13" s="3"/>
    </row>
    <row r="14" ht="14.25" spans="1:12">
      <c r="A14" s="3"/>
    </row>
    <row r="15" ht="14.25" spans="1:12">
      <c r="A15" s="3"/>
    </row>
    <row r="16" ht="14.25" spans="1:12">
      <c r="A16" s="4"/>
    </row>
    <row r="17" ht="12" customHeight="1" spans="1:4">
      <c r="A17" s="2" t="s">
        <v>50</v>
      </c>
      <c r="D17" s="2" t="s">
        <v>51</v>
      </c>
    </row>
    <row r="19" ht="29" customHeight="1"/>
    <row r="25" ht="14.25" spans="1:4">
      <c r="A25" s="5"/>
    </row>
    <row r="27" spans="1:4">
      <c r="A27" s="6"/>
    </row>
    <row r="28" spans="1:4">
      <c r="A28" s="6"/>
    </row>
    <row r="29" spans="1:4">
      <c r="A29" s="6"/>
    </row>
    <row r="30" spans="1:4">
      <c r="A30" s="6"/>
    </row>
    <row r="31" spans="1:4">
      <c r="A31" s="6"/>
    </row>
    <row r="32" spans="1:4">
      <c r="A32" s="6"/>
    </row>
    <row r="35" spans="1:1">
      <c r="A35" s="7"/>
    </row>
  </sheetData>
  <mergeCells count="2">
    <mergeCell ref="A17:A23"/>
    <mergeCell ref="D17:D23"/>
  </mergeCell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1</xdr:col>
                <xdr:colOff>0</xdr:colOff>
                <xdr:row>18</xdr:row>
                <xdr:rowOff>74295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5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1</xdr:col>
                <xdr:colOff>0</xdr:colOff>
                <xdr:row>18</xdr:row>
                <xdr:rowOff>74295</xdr:rowOff>
              </to>
            </anchor>
          </controlPr>
        </control>
      </mc:Choice>
      <mc:Fallback>
        <control shapeId="1026" r:id="rId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大大大</cp:lastModifiedBy>
  <dcterms:created xsi:type="dcterms:W3CDTF">2023-05-12T11:15:00Z</dcterms:created>
  <dcterms:modified xsi:type="dcterms:W3CDTF">2026-07-03T09:05:06Z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B1E2FF16C30848189F59F67F418D2D64_13</vt:lpwstr>
  </property>
  <property fmtid="{D5CDD505-2E9C-101B-9397-08002B2CF9AE}" pid="4" name="CalculationRule">
    <vt:i4>0</vt:i4>
  </property>
</Properties>
</file>